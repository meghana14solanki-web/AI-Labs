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ghanasolanki\Downloads\"/>
    </mc:Choice>
  </mc:AlternateContent>
  <xr:revisionPtr revIDLastSave="0" documentId="13_ncr:1_{6C631449-5E2A-4747-A487-CAAE5CF0D0BE}" xr6:coauthVersionLast="47" xr6:coauthVersionMax="47" xr10:uidLastSave="{00000000-0000-0000-0000-000000000000}"/>
  <bookViews>
    <workbookView xWindow="-110" yWindow="-110" windowWidth="19420" windowHeight="10300" tabRatio="500" firstSheet="3" activeTab="6" xr2:uid="{00000000-000D-0000-FFFF-FFFF00000000}"/>
  </bookViews>
  <sheets>
    <sheet name="Legend &amp; Notes" sheetId="1" r:id="rId1"/>
    <sheet name="Summary" sheetId="2" r:id="rId2"/>
    <sheet name="Entry Criteria" sheetId="3" r:id="rId3"/>
    <sheet name="Exit Criteria" sheetId="4" r:id="rId4"/>
    <sheet name="Test Data" sheetId="5" r:id="rId5"/>
    <sheet name="E2E Test Execution" sheetId="6" r:id="rId6"/>
    <sheet name="Defect Log" sheetId="7" r:id="rId7"/>
  </sheets>
  <definedNames>
    <definedName name="_xlnm._FilterDatabase" localSheetId="6" hidden="1">'Defect Log'!$A$3:$K$11</definedName>
    <definedName name="_xlnm._FilterDatabase" localSheetId="5" hidden="1">'E2E Test Execution'!$A$3:$Z$13</definedName>
    <definedName name="_xlnm._FilterDatabase" localSheetId="2" hidden="1">'Entry Criteria'!$A$3:$F$9</definedName>
    <definedName name="_xlnm._FilterDatabase" localSheetId="3" hidden="1">'Exit Criteria'!$A$3:$F$9</definedName>
    <definedName name="_xlnm._FilterDatabase" localSheetId="4" hidden="1">'Test Data'!$A$3:$L$11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2" l="1"/>
  <c r="B12" i="2"/>
  <c r="E11" i="2"/>
  <c r="B11" i="2"/>
  <c r="E10" i="2"/>
  <c r="B10" i="2"/>
  <c r="B8" i="2"/>
  <c r="E7" i="2"/>
  <c r="B7" i="2"/>
  <c r="E6" i="2"/>
  <c r="B6" i="2"/>
  <c r="E5" i="2"/>
  <c r="B5" i="2"/>
  <c r="B9" i="2" s="1"/>
  <c r="E4" i="2"/>
  <c r="B4" i="2"/>
  <c r="B13" i="2" l="1"/>
</calcChain>
</file>

<file path=xl/sharedStrings.xml><?xml version="1.0" encoding="utf-8"?>
<sst xmlns="http://schemas.openxmlformats.org/spreadsheetml/2006/main" count="284" uniqueCount="179">
  <si>
    <t>International Claiming E2E Test — Legend &amp; Key Improvements</t>
  </si>
  <si>
    <t>Scenario: Türkiye (TR) ↔ Italy (IT)  |  Read this first</t>
  </si>
  <si>
    <t>Status Colour Key</t>
  </si>
  <si>
    <t>Passed / Closed / Done</t>
  </si>
  <si>
    <t>Example</t>
  </si>
  <si>
    <t>Failed / Open</t>
  </si>
  <si>
    <t>Blocked / In Progress</t>
  </si>
  <si>
    <t>Not Started</t>
  </si>
  <si>
    <t>What changed vs. the original file</t>
  </si>
  <si>
    <t>1. Added an Exit Criteria sheet (was missing) so sign-off has a clear, evidenced gate, not just entry checks.</t>
  </si>
  <si>
    <t>2. Summary sheet is now a live dashboard: every figure is a formula pulling from E2E Test Execution / Defect Log — no manual re-typing, plus a Pass/Fail chart and a defect-severity chart.</t>
  </si>
  <si>
    <t>3. E2E Test Execution: added Priority, Currency, Planned Execution Date, Actual Execution Date and Executed By columns for real scheduling and traceability; Execution Result is now a dropdown with automatic colour coding.</t>
  </si>
  <si>
    <t>4. Entry Criteria: added Owner and Evidence/Comment columns and a Status dropdown so each gate is assigned and verifiable, not just a checkbox.</t>
  </si>
  <si>
    <t>5. Test Data sheet rebuilt from a single-column field list into an actual repository table (multiple data sets, Environment/Owner/Notes columns) so testers can reuse ready-made data records.</t>
  </si>
  <si>
    <t>6. Defect Log: added Severity, Priority, Environment, Date Raised, Date Closed and Root Cause columns, all with colour-coded Status.</t>
  </si>
  <si>
    <t>7. Consistent header banding, alternating row colours, frozen header rows, and AutoFilter on every table for faster scanning and sorting.</t>
  </si>
  <si>
    <t>8. Colour palette uses a deep blue for headers/titles, with a neutral grey/white body so status colours (green/red/amber) stay the clear signal.</t>
  </si>
  <si>
    <t>International Claiming End-to-End Test — Dashboard</t>
  </si>
  <si>
    <t>Scenario: Türkiye (TR) ↔ Italy (IT)</t>
  </si>
  <si>
    <t>Metric</t>
  </si>
  <si>
    <t>Value</t>
  </si>
  <si>
    <t>Result</t>
  </si>
  <si>
    <t>Count</t>
  </si>
  <si>
    <t>Total Test Cases</t>
  </si>
  <si>
    <t>Passed</t>
  </si>
  <si>
    <t>Failed</t>
  </si>
  <si>
    <t>Blocked</t>
  </si>
  <si>
    <t>Pass Rate</t>
  </si>
  <si>
    <t>Severity</t>
  </si>
  <si>
    <t>Open Count</t>
  </si>
  <si>
    <t>Open Critical Defects</t>
  </si>
  <si>
    <t>Critical</t>
  </si>
  <si>
    <t>Open Major Defects</t>
  </si>
  <si>
    <t>Major</t>
  </si>
  <si>
    <t>Open Minor Defects</t>
  </si>
  <si>
    <t>Minor</t>
  </si>
  <si>
    <t>Overall Result</t>
  </si>
  <si>
    <t>Entry Criteria</t>
  </si>
  <si>
    <t>Gates to satisfy before test execution starts</t>
  </si>
  <si>
    <t>ID</t>
  </si>
  <si>
    <t>Requirement</t>
  </si>
  <si>
    <t>Owner</t>
  </si>
  <si>
    <t>Status</t>
  </si>
  <si>
    <t>Target Date</t>
  </si>
  <si>
    <t>Evidence / Comment</t>
  </si>
  <si>
    <t>EC-01</t>
  </si>
  <si>
    <t>TR test environment available</t>
  </si>
  <si>
    <t>EC-02</t>
  </si>
  <si>
    <t>IT test environment available</t>
  </si>
  <si>
    <t>EC-03</t>
  </si>
  <si>
    <t>Clara interface operational</t>
  </si>
  <si>
    <t>EC-04</t>
  </si>
  <si>
    <t>Finance systems accessible</t>
  </si>
  <si>
    <t>EC-05</t>
  </si>
  <si>
    <t>Test users assigned</t>
  </si>
  <si>
    <t>EC-06</t>
  </si>
  <si>
    <t>Test contract available</t>
  </si>
  <si>
    <t>Exit Criteria</t>
  </si>
  <si>
    <t>Gates to satisfy before test closure / sign-off</t>
  </si>
  <si>
    <t>XC-01</t>
  </si>
  <si>
    <t>All planned test cases (TC-01 to TC-10) executed</t>
  </si>
  <si>
    <t>XC-02</t>
  </si>
  <si>
    <t>No open Critical or Major defects</t>
  </si>
  <si>
    <t>XC-03</t>
  </si>
  <si>
    <t>All Minor defects have an agreed workaround or fix date</t>
  </si>
  <si>
    <t>XC-04</t>
  </si>
  <si>
    <t>Claim, invoice and payment amounts reconcile TR ↔ IT</t>
  </si>
  <si>
    <t>XC-05</t>
  </si>
  <si>
    <t>Evidence attached for every executed test case</t>
  </si>
  <si>
    <t>XC-06</t>
  </si>
  <si>
    <t>Sign-off obtained from DTAG management</t>
  </si>
  <si>
    <t>Test Data Repository</t>
  </si>
  <si>
    <t>Reusable data sets for E2E execution — add one row per data set</t>
  </si>
  <si>
    <t>Data Set ID</t>
  </si>
  <si>
    <t>Contract Number</t>
  </si>
  <si>
    <t>VIN</t>
  </si>
  <si>
    <t>Claim Number</t>
  </si>
  <si>
    <t>Claim Amount</t>
  </si>
  <si>
    <t>Invoice Number</t>
  </si>
  <si>
    <t>Invoice Amount</t>
  </si>
  <si>
    <t>Currency</t>
  </si>
  <si>
    <t>Damage Code</t>
  </si>
  <si>
    <t>Environment</t>
  </si>
  <si>
    <t>Notes</t>
  </si>
  <si>
    <t>DS-01</t>
  </si>
  <si>
    <t>DS-02</t>
  </si>
  <si>
    <t>DS-03</t>
  </si>
  <si>
    <t>DS-04</t>
  </si>
  <si>
    <t>DS-05</t>
  </si>
  <si>
    <t>DS-06</t>
  </si>
  <si>
    <t>DS-07</t>
  </si>
  <si>
    <t>DS-08</t>
  </si>
  <si>
    <t>E2E Test Execution — International Claiming (TR ↔ IT)</t>
  </si>
  <si>
    <t>Core 10-step contract-to-payment journey</t>
  </si>
  <si>
    <t>TC ID</t>
  </si>
  <si>
    <t>Process Step</t>
  </si>
  <si>
    <t>Description</t>
  </si>
  <si>
    <t>Source System</t>
  </si>
  <si>
    <t>Source Tenant</t>
  </si>
  <si>
    <t>Target System</t>
  </si>
  <si>
    <t>Target Tenant</t>
  </si>
  <si>
    <t>Responsible</t>
  </si>
  <si>
    <t>Priority</t>
  </si>
  <si>
    <t>Expected Result</t>
  </si>
  <si>
    <t>Evidence</t>
  </si>
  <si>
    <t>Execution Result</t>
  </si>
  <si>
    <t>Planned Date</t>
  </si>
  <si>
    <t>Actual Date</t>
  </si>
  <si>
    <t>Executed By</t>
  </si>
  <si>
    <t>Issues Identified</t>
  </si>
  <si>
    <t>Ticket Number</t>
  </si>
  <si>
    <t>Assigned To</t>
  </si>
  <si>
    <t>TC-01</t>
  </si>
  <si>
    <t>Contract Creation</t>
  </si>
  <si>
    <t>Service contract creation/activation</t>
  </si>
  <si>
    <t>uiCON/apiCON</t>
  </si>
  <si>
    <t>TR</t>
  </si>
  <si>
    <t>iCON Basic</t>
  </si>
  <si>
    <t>TR Market</t>
  </si>
  <si>
    <t>High</t>
  </si>
  <si>
    <t>Contract successfully activated</t>
  </si>
  <si>
    <t>Screenshot</t>
  </si>
  <si>
    <t>TC-02</t>
  </si>
  <si>
    <t>iCON to Clara</t>
  </si>
  <si>
    <t>Transfer contract to Clara</t>
  </si>
  <si>
    <t>Clara</t>
  </si>
  <si>
    <t>Contract visible in Clara</t>
  </si>
  <si>
    <t>Screenshot/Log</t>
  </si>
  <si>
    <t>TC-03</t>
  </si>
  <si>
    <t>Claim Creation</t>
  </si>
  <si>
    <t>Workshop claim created</t>
  </si>
  <si>
    <t>IT</t>
  </si>
  <si>
    <t>IT Market</t>
  </si>
  <si>
    <t>Claim successfully created</t>
  </si>
  <si>
    <t>TC-04</t>
  </si>
  <si>
    <t>Pre-Authorisation</t>
  </si>
  <si>
    <t>Request sent from IT to TR</t>
  </si>
  <si>
    <t>Medium</t>
  </si>
  <si>
    <t>Request visible in TR</t>
  </si>
  <si>
    <t>TC-05</t>
  </si>
  <si>
    <t>Approval</t>
  </si>
  <si>
    <t>Pre-authorisation approval</t>
  </si>
  <si>
    <t>Approved in both markets</t>
  </si>
  <si>
    <t>TC-06</t>
  </si>
  <si>
    <t>Workshop Reimbursement</t>
  </si>
  <si>
    <t>Reimbursement executed</t>
  </si>
  <si>
    <t>Finance System</t>
  </si>
  <si>
    <t>Payment posting successful</t>
  </si>
  <si>
    <t>Payment Doc</t>
  </si>
  <si>
    <t>TC-07</t>
  </si>
  <si>
    <t>Local Invoice</t>
  </si>
  <si>
    <t>Invoice creation</t>
  </si>
  <si>
    <t>Invoice generated</t>
  </si>
  <si>
    <t>Invoice PDF</t>
  </si>
  <si>
    <t>TC-08</t>
  </si>
  <si>
    <t>International Invoice</t>
  </si>
  <si>
    <t>Invoice transfer IT to TR</t>
  </si>
  <si>
    <t>Invoice received successfully</t>
  </si>
  <si>
    <t>Interface Log</t>
  </si>
  <si>
    <t>TC-09</t>
  </si>
  <si>
    <t>International Payment</t>
  </si>
  <si>
    <t>TR reimburses IT</t>
  </si>
  <si>
    <t>Payment completed</t>
  </si>
  <si>
    <t>Payment Ref</t>
  </si>
  <si>
    <t>TC-10</t>
  </si>
  <si>
    <t>Clara to iCON</t>
  </si>
  <si>
    <t>Claim synchronization</t>
  </si>
  <si>
    <t>iCON</t>
  </si>
  <si>
    <t>Claim visible in iCON</t>
  </si>
  <si>
    <t>Defect Log</t>
  </si>
  <si>
    <t>One row per defect raised during E2E execution</t>
  </si>
  <si>
    <t>Summary</t>
  </si>
  <si>
    <t>Date Raised</t>
  </si>
  <si>
    <t>Date Closed</t>
  </si>
  <si>
    <t>Root Cause</t>
  </si>
  <si>
    <t>In Progress</t>
  </si>
  <si>
    <t>Done</t>
  </si>
  <si>
    <t>Defect tedt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</si>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</sst>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FFFFFF"/>
      <name val="Calibri"/>
      <charset val="1"/>
    </font>
    <font>
      <b/>
      <sz val="12"/>
      <color rgb="FF123A56"/>
      <name val="Cambria"/>
      <charset val="1"/>
    </font>
    <font>
      <sz val="10"/>
      <color rgb="FF262626"/>
      <name val="Calibri"/>
      <charset val="1"/>
    </font>
    <font>
      <b/>
      <sz val="11"/>
      <color rgb="FF006100"/>
      <name val="Cambria"/>
      <charset val="1"/>
    </font>
    <font>
      <b/>
      <sz val="11"/>
      <color rgb="FF842029"/>
      <name val="Cambria"/>
      <charset val="1"/>
    </font>
    <font>
      <b/>
      <sz val="11"/>
      <color rgb="FF9C6500"/>
      <name val="Cambria"/>
      <charset val="1"/>
    </font>
    <font>
      <b/>
      <sz val="11"/>
      <color rgb="FF595959"/>
      <name val="Cambria"/>
      <charset val="1"/>
    </font>
    <font>
      <b/>
      <sz val="11"/>
      <color rgb="FFFFFFFF"/>
      <name val="Cambria"/>
      <charset val="1"/>
    </font>
    <font>
      <b/>
      <sz val="11"/>
      <color rgb="FF262626"/>
      <name val="Cambria"/>
      <charset val="1"/>
    </font>
    <font>
      <b/>
      <sz val="11"/>
      <color rgb="FFFFFFFF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23A56"/>
        <bgColor rgb="FF1B4F72"/>
      </patternFill>
    </fill>
    <fill>
      <patternFill patternType="solid">
        <fgColor rgb="FFC6EFCE"/>
        <bgColor rgb="FFD9D9D9"/>
      </patternFill>
    </fill>
    <fill>
      <patternFill patternType="solid">
        <fgColor rgb="FFF8D7DA"/>
        <bgColor rgb="FFE7E6E6"/>
      </patternFill>
    </fill>
    <fill>
      <patternFill patternType="solid">
        <fgColor rgb="FFFFEB9C"/>
        <bgColor rgb="FFF8D7DA"/>
      </patternFill>
    </fill>
    <fill>
      <patternFill patternType="solid">
        <fgColor rgb="FFE7E6E6"/>
        <bgColor rgb="FFF5F0F3"/>
      </patternFill>
    </fill>
    <fill>
      <patternFill patternType="solid">
        <fgColor rgb="FF1B4F72"/>
        <bgColor rgb="FF123A56"/>
      </patternFill>
    </fill>
    <fill>
      <patternFill patternType="solid">
        <fgColor rgb="FFF5F0F3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7" borderId="0" xfId="0" applyFont="1" applyFill="1"/>
    <xf numFmtId="0" fontId="4" fillId="0" borderId="1" xfId="0" applyFont="1" applyBorder="1"/>
    <xf numFmtId="0" fontId="10" fillId="0" borderId="1" xfId="0" applyFont="1" applyBorder="1"/>
    <xf numFmtId="0" fontId="4" fillId="8" borderId="1" xfId="0" applyFont="1" applyFill="1" applyBorder="1"/>
    <xf numFmtId="0" fontId="10" fillId="8" borderId="1" xfId="0" applyFont="1" applyFill="1" applyBorder="1"/>
    <xf numFmtId="164" fontId="10" fillId="8" borderId="1" xfId="0" applyNumberFormat="1" applyFont="1" applyFill="1" applyBorder="1"/>
    <xf numFmtId="0" fontId="11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left" vertical="center"/>
    </xf>
    <xf numFmtId="165" fontId="4" fillId="8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43">
    <dxf>
      <font>
        <b/>
        <color rgb="FF595959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C0504D"/>
      <rgbColor rgb="FFF5F0F3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D7DA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23A56"/>
      <rgbColor rgb="FF339966"/>
      <rgbColor rgb="FF003300"/>
      <rgbColor rgb="FF333300"/>
      <rgbColor rgb="FF842029"/>
      <rgbColor rgb="FF595959"/>
      <rgbColor rgb="FF1B4F72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Execution Result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Summary!$E$3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5C0-4DD8-B5F4-EF78680E67C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5C0-4DD8-B5F4-EF78680E67C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5C0-4DD8-B5F4-EF78680E67C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5C0-4DD8-B5F4-EF78680E67C4}"/>
              </c:ext>
            </c:extLst>
          </c:dPt>
          <c:dLbls>
            <c:dLbl>
              <c:idx val="0"/>
              <c:layout>
                <c:manualLayout>
                  <c:x val="-0.32328581366509723"/>
                  <c:y val="0.5119815354829935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C0-4DD8-B5F4-EF78680E67C4}"/>
                </c:ext>
              </c:extLst>
            </c:dLbl>
            <c:dLbl>
              <c:idx val="1"/>
              <c:layout>
                <c:manualLayout>
                  <c:x val="-0.31464304798007803"/>
                  <c:y val="0.14621129391622967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C0-4DD8-B5F4-EF78680E67C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C0-4DD8-B5F4-EF78680E67C4}"/>
                </c:ext>
              </c:extLst>
            </c:dLbl>
            <c:dLbl>
              <c:idx val="3"/>
              <c:layout>
                <c:manualLayout>
                  <c:x val="0.19015848851159931"/>
                  <c:y val="-0.13048285351989855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C0-4DD8-B5F4-EF78680E67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Summary!$D$4:$D$7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Blocked</c:v>
                </c:pt>
                <c:pt idx="3">
                  <c:v>Not Started</c:v>
                </c:pt>
              </c:strCache>
            </c:strRef>
          </c:cat>
          <c:val>
            <c:numRef>
              <c:f>Summary!$E$4:$E$7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C0-4DD8-B5F4-EF78680E6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Open Defects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Summary!$E$9</c:f>
              <c:strCache>
                <c:ptCount val="1"/>
                <c:pt idx="0">
                  <c:v>Open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Summary!$D$10:$D$12</c:f>
              <c:strCache>
                <c:ptCount val="3"/>
                <c:pt idx="0">
                  <c:v>Critical</c:v>
                </c:pt>
                <c:pt idx="1">
                  <c:v>Major</c:v>
                </c:pt>
                <c:pt idx="2">
                  <c:v>Minor</c:v>
                </c:pt>
              </c:strCache>
            </c:strRef>
          </c:cat>
          <c:val>
            <c:numRef>
              <c:f>Summary!$E$10:$E$12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D-4A4F-9105-B9E527DD5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0822"/>
        <c:axId val="90575303"/>
      </c:barChart>
      <c:catAx>
        <c:axId val="49108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575303"/>
        <c:crosses val="autoZero"/>
        <c:auto val="1"/>
        <c:lblAlgn val="ctr"/>
        <c:lblOffset val="100"/>
        <c:noMultiLvlLbl val="0"/>
      </c:catAx>
      <c:valAx>
        <c:axId val="90575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108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133350</xdr:colOff>
      <xdr:row>16</xdr:row>
      <xdr:rowOff>42480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0</xdr:rowOff>
    </xdr:from>
    <xdr:to>
      <xdr:col>11</xdr:col>
      <xdr:colOff>541440</xdr:colOff>
      <xdr:row>30</xdr:row>
      <xdr:rowOff>42120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110" customWidth="1"/>
    <col min="2" max="5" width="16" customWidth="1"/>
  </cols>
  <sheetData>
    <row r="1" spans="1:5" ht="30" customHeight="1" x14ac:dyDescent="0.35">
      <c r="A1" s="21" t="s">
        <v>0</v>
      </c>
      <c r="B1" s="21"/>
      <c r="C1" s="21"/>
      <c r="D1" s="21"/>
      <c r="E1" s="21"/>
    </row>
    <row r="2" spans="1:5" ht="18" customHeight="1" x14ac:dyDescent="0.35">
      <c r="A2" s="22" t="s">
        <v>1</v>
      </c>
      <c r="B2" s="22"/>
      <c r="C2" s="22"/>
      <c r="D2" s="22"/>
      <c r="E2" s="22"/>
    </row>
    <row r="4" spans="1:5" ht="15" customHeight="1" x14ac:dyDescent="0.35">
      <c r="A4" s="1" t="s">
        <v>2</v>
      </c>
    </row>
    <row r="5" spans="1:5" ht="15" customHeight="1" x14ac:dyDescent="0.35">
      <c r="A5" s="2" t="s">
        <v>3</v>
      </c>
      <c r="B5" s="3" t="s">
        <v>4</v>
      </c>
    </row>
    <row r="6" spans="1:5" ht="15" customHeight="1" x14ac:dyDescent="0.35">
      <c r="A6" s="2" t="s">
        <v>5</v>
      </c>
      <c r="B6" s="4" t="s">
        <v>4</v>
      </c>
    </row>
    <row r="7" spans="1:5" ht="15" customHeight="1" x14ac:dyDescent="0.35">
      <c r="A7" s="2" t="s">
        <v>6</v>
      </c>
      <c r="B7" s="5" t="s">
        <v>4</v>
      </c>
    </row>
    <row r="8" spans="1:5" ht="15" customHeight="1" x14ac:dyDescent="0.35">
      <c r="A8" s="2" t="s">
        <v>7</v>
      </c>
      <c r="B8" s="6" t="s">
        <v>4</v>
      </c>
    </row>
    <row r="10" spans="1:5" ht="15" customHeight="1" x14ac:dyDescent="0.35">
      <c r="A10" s="1" t="s">
        <v>8</v>
      </c>
    </row>
    <row r="11" spans="1:5" ht="30" customHeight="1" x14ac:dyDescent="0.35">
      <c r="A11" s="23" t="s">
        <v>9</v>
      </c>
      <c r="B11" s="23"/>
      <c r="C11" s="23"/>
      <c r="D11" s="23"/>
      <c r="E11" s="23"/>
    </row>
    <row r="12" spans="1:5" ht="30" customHeight="1" x14ac:dyDescent="0.35">
      <c r="A12" s="23" t="s">
        <v>10</v>
      </c>
      <c r="B12" s="23"/>
      <c r="C12" s="23"/>
      <c r="D12" s="23"/>
      <c r="E12" s="23"/>
    </row>
    <row r="13" spans="1:5" ht="30" customHeight="1" x14ac:dyDescent="0.35">
      <c r="A13" s="23" t="s">
        <v>11</v>
      </c>
      <c r="B13" s="23"/>
      <c r="C13" s="23"/>
      <c r="D13" s="23"/>
      <c r="E13" s="23"/>
    </row>
    <row r="14" spans="1:5" ht="30" customHeight="1" x14ac:dyDescent="0.35">
      <c r="A14" s="23" t="s">
        <v>12</v>
      </c>
      <c r="B14" s="23"/>
      <c r="C14" s="23"/>
      <c r="D14" s="23"/>
      <c r="E14" s="23"/>
    </row>
    <row r="15" spans="1:5" ht="30" customHeight="1" x14ac:dyDescent="0.35">
      <c r="A15" s="23" t="s">
        <v>13</v>
      </c>
      <c r="B15" s="23"/>
      <c r="C15" s="23"/>
      <c r="D15" s="23"/>
      <c r="E15" s="23"/>
    </row>
    <row r="16" spans="1:5" ht="30" customHeight="1" x14ac:dyDescent="0.35">
      <c r="A16" s="23" t="s">
        <v>14</v>
      </c>
      <c r="B16" s="23"/>
      <c r="C16" s="23"/>
      <c r="D16" s="23"/>
      <c r="E16" s="23"/>
    </row>
    <row r="17" spans="1:5" ht="30" customHeight="1" x14ac:dyDescent="0.35">
      <c r="A17" s="23" t="s">
        <v>15</v>
      </c>
      <c r="B17" s="23"/>
      <c r="C17" s="23"/>
      <c r="D17" s="23"/>
      <c r="E17" s="23"/>
    </row>
    <row r="18" spans="1:5" ht="30" customHeight="1" x14ac:dyDescent="0.35">
      <c r="A18" s="23" t="s">
        <v>16</v>
      </c>
      <c r="B18" s="23"/>
      <c r="C18" s="23"/>
      <c r="D18" s="23"/>
      <c r="E18" s="23"/>
    </row>
    <row r="19" spans="1:5" ht="30" customHeight="1" x14ac:dyDescent="0.35">
      <c r="A19" s="23"/>
      <c r="B19" s="23"/>
      <c r="C19" s="23"/>
      <c r="D19" s="23"/>
      <c r="E19" s="23"/>
    </row>
    <row r="20" spans="1:5" ht="30" customHeight="1" x14ac:dyDescent="0.35">
      <c r="A20" s="23"/>
      <c r="B20" s="23"/>
      <c r="C20" s="23"/>
      <c r="D20" s="23"/>
      <c r="E20" s="23"/>
    </row>
  </sheetData>
  <mergeCells count="12">
    <mergeCell ref="A1:E1"/>
    <mergeCell ref="A2:E2"/>
    <mergeCell ref="A11:E11"/>
    <mergeCell ref="A12:E12"/>
    <mergeCell ref="A13:E13"/>
    <mergeCell ref="A19:E19"/>
    <mergeCell ref="A20:E20"/>
    <mergeCell ref="A14:E14"/>
    <mergeCell ref="A15:E15"/>
    <mergeCell ref="A16:E16"/>
    <mergeCell ref="A17:E17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zoomScaleNormal="100" workbookViewId="0">
      <pane ySplit="3" topLeftCell="A4" activePane="bottomLeft" state="frozen"/>
      <selection pane="bottomLeft" activeCell="B29" sqref="B29"/>
    </sheetView>
  </sheetViews>
  <sheetFormatPr defaultColWidth="8.6328125" defaultRowHeight="14.5" x14ac:dyDescent="0.35"/>
  <cols>
    <col min="1" max="1" width="24" customWidth="1"/>
    <col min="2" max="2" width="14" customWidth="1"/>
    <col min="3" max="3" width="3" customWidth="1"/>
    <col min="4" max="4" width="14" customWidth="1"/>
    <col min="5" max="5" width="12" customWidth="1"/>
  </cols>
  <sheetData>
    <row r="1" spans="1:5" ht="30" customHeight="1" x14ac:dyDescent="0.35">
      <c r="A1" s="21" t="s">
        <v>17</v>
      </c>
      <c r="B1" s="21"/>
      <c r="C1" s="21"/>
      <c r="D1" s="21"/>
      <c r="E1" s="21"/>
    </row>
    <row r="2" spans="1:5" ht="18" customHeight="1" x14ac:dyDescent="0.35">
      <c r="A2" s="22" t="s">
        <v>18</v>
      </c>
      <c r="B2" s="22"/>
      <c r="C2" s="22"/>
      <c r="D2" s="22"/>
      <c r="E2" s="22"/>
    </row>
    <row r="3" spans="1:5" ht="24" customHeight="1" x14ac:dyDescent="0.35">
      <c r="A3" s="7" t="s">
        <v>19</v>
      </c>
      <c r="B3" s="7" t="s">
        <v>20</v>
      </c>
      <c r="D3" s="8" t="s">
        <v>21</v>
      </c>
      <c r="E3" s="8" t="s">
        <v>22</v>
      </c>
    </row>
    <row r="4" spans="1:5" ht="15" customHeight="1" x14ac:dyDescent="0.35">
      <c r="A4" s="9" t="s">
        <v>23</v>
      </c>
      <c r="B4" s="10">
        <f>COUNTA('E2E Test Execution'!A4:A100)</f>
        <v>10</v>
      </c>
      <c r="D4" s="9" t="s">
        <v>24</v>
      </c>
      <c r="E4" s="9">
        <f>COUNTIF('E2E Test Execution'!T4:T100,"Passed")</f>
        <v>4</v>
      </c>
    </row>
    <row r="5" spans="1:5" ht="15" customHeight="1" x14ac:dyDescent="0.35">
      <c r="A5" s="11" t="s">
        <v>24</v>
      </c>
      <c r="B5" s="12">
        <f>COUNTIF('E2E Test Execution'!T4:T100,"Passed")</f>
        <v>4</v>
      </c>
      <c r="D5" s="9" t="s">
        <v>25</v>
      </c>
      <c r="E5" s="9">
        <f>COUNTIF('E2E Test Execution'!T4:T100,"Failed")</f>
        <v>0</v>
      </c>
    </row>
    <row r="6" spans="1:5" ht="15" customHeight="1" x14ac:dyDescent="0.35">
      <c r="A6" s="9" t="s">
        <v>25</v>
      </c>
      <c r="B6" s="10">
        <f>COUNTIF('E2E Test Execution'!T4:T100,"Failed")</f>
        <v>0</v>
      </c>
      <c r="D6" s="9" t="s">
        <v>26</v>
      </c>
      <c r="E6" s="9">
        <f>COUNTIF('E2E Test Execution'!T4:T100,"Blocked")</f>
        <v>1</v>
      </c>
    </row>
    <row r="7" spans="1:5" ht="15" customHeight="1" x14ac:dyDescent="0.35">
      <c r="A7" s="11" t="s">
        <v>26</v>
      </c>
      <c r="B7" s="12">
        <f>COUNTIF('E2E Test Execution'!T4:T100,"Blocked")</f>
        <v>1</v>
      </c>
      <c r="D7" s="9" t="s">
        <v>7</v>
      </c>
      <c r="E7" s="9">
        <f>COUNTIF('E2E Test Execution'!T4:T100,"Not Started")</f>
        <v>5</v>
      </c>
    </row>
    <row r="8" spans="1:5" ht="15" customHeight="1" x14ac:dyDescent="0.35">
      <c r="A8" s="9" t="s">
        <v>7</v>
      </c>
      <c r="B8" s="10">
        <f>COUNTIF('E2E Test Execution'!T4:T100,"Not Started")</f>
        <v>5</v>
      </c>
    </row>
    <row r="9" spans="1:5" ht="15" customHeight="1" x14ac:dyDescent="0.35">
      <c r="A9" s="11" t="s">
        <v>27</v>
      </c>
      <c r="B9" s="13">
        <f>IFERROR(B5/B4,0)</f>
        <v>0.4</v>
      </c>
      <c r="D9" s="8" t="s">
        <v>28</v>
      </c>
      <c r="E9" s="8" t="s">
        <v>29</v>
      </c>
    </row>
    <row r="10" spans="1:5" ht="15" customHeight="1" x14ac:dyDescent="0.35">
      <c r="A10" s="9" t="s">
        <v>30</v>
      </c>
      <c r="B10" s="10">
        <f>COUNTIFS('Defect Log'!D4:D100,"Critical",'Defect Log'!I4:I100,"Open")</f>
        <v>1</v>
      </c>
      <c r="D10" s="9" t="s">
        <v>31</v>
      </c>
      <c r="E10" s="9">
        <f>COUNTIFS('Defect Log'!D4:D100,"Critical",'Defect Log'!I4:I100,"Open")</f>
        <v>1</v>
      </c>
    </row>
    <row r="11" spans="1:5" ht="15" customHeight="1" x14ac:dyDescent="0.35">
      <c r="A11" s="11" t="s">
        <v>32</v>
      </c>
      <c r="B11" s="12">
        <f>COUNTIFS('Defect Log'!D4:D100,"Major",'Defect Log'!I4:I100,"Open")</f>
        <v>0</v>
      </c>
      <c r="D11" s="9" t="s">
        <v>33</v>
      </c>
      <c r="E11" s="9">
        <f>COUNTIFS('Defect Log'!D4:D100,"Major",'Defect Log'!I4:I100,"Open")</f>
        <v>0</v>
      </c>
    </row>
    <row r="12" spans="1:5" ht="15" customHeight="1" x14ac:dyDescent="0.35">
      <c r="A12" s="9" t="s">
        <v>34</v>
      </c>
      <c r="B12" s="10">
        <f>COUNTIFS('Defect Log'!D4:D100,"Minor",'Defect Log'!I4:I100,"Open")</f>
        <v>0</v>
      </c>
      <c r="D12" s="9" t="s">
        <v>35</v>
      </c>
      <c r="E12" s="9">
        <f>COUNTIFS('Defect Log'!D4:D100,"Minor",'Defect Log'!I4:I100,"Open")</f>
        <v>0</v>
      </c>
    </row>
    <row r="13" spans="1:5" ht="15" customHeight="1" x14ac:dyDescent="0.35">
      <c r="A13" s="11" t="s">
        <v>36</v>
      </c>
      <c r="B13" s="12" t="str">
        <f>IF(OR(B6&gt;0,B10&gt;0),"RED",IF(OR(B7&gt;0,B11&gt;0),"AMBER","GREEN"))</f>
        <v>RED</v>
      </c>
    </row>
  </sheetData>
  <mergeCells count="2">
    <mergeCell ref="A1:E1"/>
    <mergeCell ref="A2:E2"/>
  </mergeCells>
  <conditionalFormatting sqref="B13">
    <cfRule type="cellIs" dxfId="42" priority="2" operator="equal">
      <formula>"Passed"</formula>
    </cfRule>
    <cfRule type="cellIs" dxfId="41" priority="3" operator="equal">
      <formula>"Closed"</formula>
    </cfRule>
    <cfRule type="cellIs" dxfId="40" priority="4" operator="equal">
      <formula>"Done"</formula>
    </cfRule>
    <cfRule type="cellIs" dxfId="39" priority="5" operator="equal">
      <formula>"Failed"</formula>
    </cfRule>
    <cfRule type="cellIs" dxfId="38" priority="6" operator="equal">
      <formula>"Open"</formula>
    </cfRule>
    <cfRule type="cellIs" dxfId="37" priority="7" operator="equal">
      <formula>"Blocked"</formula>
    </cfRule>
    <cfRule type="cellIs" dxfId="36" priority="8" operator="equal">
      <formula>"In Progress"</formula>
    </cfRule>
    <cfRule type="cellIs" dxfId="35" priority="9" operator="equal">
      <formula>"Not Started"</formula>
    </cfRule>
    <cfRule type="cellIs" dxfId="34" priority="10" operator="equal">
      <formula>"GREEN"</formula>
    </cfRule>
    <cfRule type="cellIs" dxfId="33" priority="11" operator="equal">
      <formula>"AMBER"</formula>
    </cfRule>
    <cfRule type="cellIs" dxfId="32" priority="12" operator="equal">
      <formula>"RED"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zoomScaleNormal="100" workbookViewId="0">
      <pane ySplit="3" topLeftCell="A4" activePane="bottomLeft" state="frozen"/>
      <selection pane="bottomLeft" activeCell="D4" sqref="D4"/>
    </sheetView>
  </sheetViews>
  <sheetFormatPr defaultColWidth="8.6328125" defaultRowHeight="14.5" x14ac:dyDescent="0.35"/>
  <cols>
    <col min="1" max="1" width="8" customWidth="1"/>
    <col min="2" max="2" width="34" customWidth="1"/>
    <col min="3" max="3" width="16" customWidth="1"/>
    <col min="4" max="5" width="14" customWidth="1"/>
    <col min="6" max="6" width="32" customWidth="1"/>
  </cols>
  <sheetData>
    <row r="1" spans="1:6" ht="30" customHeight="1" x14ac:dyDescent="0.35">
      <c r="A1" s="21" t="s">
        <v>37</v>
      </c>
      <c r="B1" s="21"/>
      <c r="C1" s="21"/>
      <c r="D1" s="21"/>
      <c r="E1" s="21"/>
      <c r="F1" s="21"/>
    </row>
    <row r="2" spans="1:6" ht="18" customHeight="1" x14ac:dyDescent="0.35">
      <c r="A2" s="22" t="s">
        <v>38</v>
      </c>
      <c r="B2" s="22"/>
      <c r="C2" s="22"/>
      <c r="D2" s="22"/>
      <c r="E2" s="22"/>
      <c r="F2" s="22"/>
    </row>
    <row r="3" spans="1:6" ht="31.5" customHeight="1" x14ac:dyDescent="0.35">
      <c r="A3" s="14" t="s">
        <v>39</v>
      </c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</row>
    <row r="4" spans="1:6" ht="15" customHeight="1" x14ac:dyDescent="0.35">
      <c r="A4" s="15" t="s">
        <v>45</v>
      </c>
      <c r="B4" s="16" t="s">
        <v>46</v>
      </c>
      <c r="C4" s="15"/>
      <c r="D4" s="15" t="s">
        <v>175</v>
      </c>
      <c r="E4" s="15"/>
      <c r="F4" s="16"/>
    </row>
    <row r="5" spans="1:6" ht="15" customHeight="1" x14ac:dyDescent="0.35">
      <c r="A5" s="17" t="s">
        <v>47</v>
      </c>
      <c r="B5" s="18" t="s">
        <v>48</v>
      </c>
      <c r="C5" s="17"/>
      <c r="D5" s="17" t="s">
        <v>7</v>
      </c>
      <c r="E5" s="17"/>
      <c r="F5" s="18"/>
    </row>
    <row r="6" spans="1:6" ht="15" customHeight="1" x14ac:dyDescent="0.35">
      <c r="A6" s="15" t="s">
        <v>49</v>
      </c>
      <c r="B6" s="16" t="s">
        <v>50</v>
      </c>
      <c r="C6" s="15"/>
      <c r="D6" s="15" t="s">
        <v>7</v>
      </c>
      <c r="E6" s="15"/>
      <c r="F6" s="16"/>
    </row>
    <row r="7" spans="1:6" ht="15" customHeight="1" x14ac:dyDescent="0.35">
      <c r="A7" s="17" t="s">
        <v>51</v>
      </c>
      <c r="B7" s="18" t="s">
        <v>52</v>
      </c>
      <c r="C7" s="17"/>
      <c r="D7" s="17" t="s">
        <v>7</v>
      </c>
      <c r="E7" s="17"/>
      <c r="F7" s="18"/>
    </row>
    <row r="8" spans="1:6" ht="15" customHeight="1" x14ac:dyDescent="0.35">
      <c r="A8" s="15" t="s">
        <v>53</v>
      </c>
      <c r="B8" s="16" t="s">
        <v>54</v>
      </c>
      <c r="C8" s="15"/>
      <c r="D8" s="15" t="s">
        <v>7</v>
      </c>
      <c r="E8" s="15"/>
      <c r="F8" s="16"/>
    </row>
    <row r="9" spans="1:6" ht="15" customHeight="1" x14ac:dyDescent="0.35">
      <c r="A9" s="17" t="s">
        <v>55</v>
      </c>
      <c r="B9" s="18" t="s">
        <v>56</v>
      </c>
      <c r="C9" s="17"/>
      <c r="D9" s="17" t="s">
        <v>7</v>
      </c>
      <c r="E9" s="17"/>
      <c r="F9" s="18"/>
    </row>
  </sheetData>
  <autoFilter ref="A3:F9" xr:uid="{00000000-0009-0000-0000-000002000000}"/>
  <mergeCells count="2">
    <mergeCell ref="A1:F1"/>
    <mergeCell ref="A2:F2"/>
  </mergeCells>
  <conditionalFormatting sqref="D4:D9">
    <cfRule type="cellIs" dxfId="31" priority="2" operator="equal">
      <formula>"Passed"</formula>
    </cfRule>
    <cfRule type="cellIs" dxfId="30" priority="3" operator="equal">
      <formula>"Closed"</formula>
    </cfRule>
    <cfRule type="cellIs" dxfId="29" priority="4" operator="equal">
      <formula>"Done"</formula>
    </cfRule>
    <cfRule type="cellIs" dxfId="28" priority="5" operator="equal">
      <formula>"Failed"</formula>
    </cfRule>
    <cfRule type="cellIs" dxfId="27" priority="6" operator="equal">
      <formula>"Open"</formula>
    </cfRule>
    <cfRule type="cellIs" dxfId="26" priority="7" operator="equal">
      <formula>"Blocked"</formula>
    </cfRule>
    <cfRule type="cellIs" dxfId="25" priority="8" operator="equal">
      <formula>"In Progress"</formula>
    </cfRule>
    <cfRule type="cellIs" dxfId="24" priority="9" operator="equal">
      <formula>"Not Started"</formula>
    </cfRule>
  </conditionalFormatting>
  <dataValidations count="1">
    <dataValidation type="list" allowBlank="1" sqref="D4:D9" xr:uid="{00000000-0002-0000-02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zoomScaleNormal="100" workbookViewId="0">
      <pane ySplit="3" topLeftCell="A4" activePane="bottomLeft" state="frozen"/>
      <selection pane="bottomLeft" sqref="A1:F1"/>
    </sheetView>
  </sheetViews>
  <sheetFormatPr defaultColWidth="8.6328125" defaultRowHeight="14.5" x14ac:dyDescent="0.35"/>
  <cols>
    <col min="1" max="1" width="8" customWidth="1"/>
    <col min="2" max="2" width="40" customWidth="1"/>
    <col min="3" max="3" width="16" customWidth="1"/>
    <col min="4" max="5" width="14" customWidth="1"/>
    <col min="6" max="6" width="32" customWidth="1"/>
  </cols>
  <sheetData>
    <row r="1" spans="1:6" ht="30" customHeight="1" x14ac:dyDescent="0.35">
      <c r="A1" s="21" t="s">
        <v>57</v>
      </c>
      <c r="B1" s="21"/>
      <c r="C1" s="21"/>
      <c r="D1" s="21"/>
      <c r="E1" s="21"/>
      <c r="F1" s="21"/>
    </row>
    <row r="2" spans="1:6" ht="18" customHeight="1" x14ac:dyDescent="0.35">
      <c r="A2" s="22" t="s">
        <v>58</v>
      </c>
      <c r="B2" s="22"/>
      <c r="C2" s="22"/>
      <c r="D2" s="22"/>
      <c r="E2" s="22"/>
      <c r="F2" s="22"/>
    </row>
    <row r="3" spans="1:6" ht="31.5" customHeight="1" x14ac:dyDescent="0.35">
      <c r="A3" s="14" t="s">
        <v>39</v>
      </c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</row>
    <row r="4" spans="1:6" ht="15" customHeight="1" x14ac:dyDescent="0.35">
      <c r="A4" s="15" t="s">
        <v>59</v>
      </c>
      <c r="B4" s="16" t="s">
        <v>60</v>
      </c>
      <c r="C4" s="15"/>
      <c r="D4" s="15" t="s">
        <v>176</v>
      </c>
      <c r="E4" s="15"/>
      <c r="F4" s="16"/>
    </row>
    <row r="5" spans="1:6" ht="15" customHeight="1" x14ac:dyDescent="0.35">
      <c r="A5" s="17" t="s">
        <v>61</v>
      </c>
      <c r="B5" s="18" t="s">
        <v>62</v>
      </c>
      <c r="C5" s="17"/>
      <c r="D5" s="17" t="s">
        <v>7</v>
      </c>
      <c r="E5" s="17"/>
      <c r="F5" s="18"/>
    </row>
    <row r="6" spans="1:6" ht="23.25" customHeight="1" x14ac:dyDescent="0.35">
      <c r="A6" s="15" t="s">
        <v>63</v>
      </c>
      <c r="B6" s="16" t="s">
        <v>64</v>
      </c>
      <c r="C6" s="15"/>
      <c r="D6" s="15" t="s">
        <v>7</v>
      </c>
      <c r="E6" s="15"/>
      <c r="F6" s="16"/>
    </row>
    <row r="7" spans="1:6" ht="23.25" customHeight="1" x14ac:dyDescent="0.35">
      <c r="A7" s="17" t="s">
        <v>65</v>
      </c>
      <c r="B7" s="18" t="s">
        <v>66</v>
      </c>
      <c r="C7" s="17"/>
      <c r="D7" s="17" t="s">
        <v>7</v>
      </c>
      <c r="E7" s="17"/>
      <c r="F7" s="18"/>
    </row>
    <row r="8" spans="1:6" ht="15" customHeight="1" x14ac:dyDescent="0.35">
      <c r="A8" s="15" t="s">
        <v>67</v>
      </c>
      <c r="B8" s="16" t="s">
        <v>68</v>
      </c>
      <c r="C8" s="15"/>
      <c r="D8" s="15" t="s">
        <v>7</v>
      </c>
      <c r="E8" s="15"/>
      <c r="F8" s="16"/>
    </row>
    <row r="9" spans="1:6" ht="15" customHeight="1" x14ac:dyDescent="0.35">
      <c r="A9" s="17" t="s">
        <v>69</v>
      </c>
      <c r="B9" s="18" t="s">
        <v>70</v>
      </c>
      <c r="C9" s="17"/>
      <c r="D9" s="17" t="s">
        <v>7</v>
      </c>
      <c r="E9" s="17"/>
      <c r="F9" s="18"/>
    </row>
  </sheetData>
  <autoFilter ref="A3:F9" xr:uid="{00000000-0009-0000-0000-000003000000}"/>
  <mergeCells count="2">
    <mergeCell ref="A1:F1"/>
    <mergeCell ref="A2:F2"/>
  </mergeCells>
  <conditionalFormatting sqref="D4:D9">
    <cfRule type="cellIs" dxfId="23" priority="2" operator="equal">
      <formula>"Passed"</formula>
    </cfRule>
    <cfRule type="cellIs" dxfId="22" priority="3" operator="equal">
      <formula>"Closed"</formula>
    </cfRule>
    <cfRule type="cellIs" dxfId="21" priority="4" operator="equal">
      <formula>"Done"</formula>
    </cfRule>
    <cfRule type="cellIs" dxfId="20" priority="5" operator="equal">
      <formula>"Failed"</formula>
    </cfRule>
    <cfRule type="cellIs" dxfId="19" priority="6" operator="equal">
      <formula>"Open"</formula>
    </cfRule>
    <cfRule type="cellIs" dxfId="18" priority="7" operator="equal">
      <formula>"Blocked"</formula>
    </cfRule>
    <cfRule type="cellIs" dxfId="17" priority="8" operator="equal">
      <formula>"In Progress"</formula>
    </cfRule>
    <cfRule type="cellIs" dxfId="16" priority="9" operator="equal">
      <formula>"Not Started"</formula>
    </cfRule>
  </conditionalFormatting>
  <dataValidations count="1">
    <dataValidation type="list" allowBlank="1" sqref="D4:D9" xr:uid="{00000000-0002-0000-03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showGridLines="0" zoomScaleNormal="100" workbookViewId="0">
      <pane ySplit="3" topLeftCell="A4" activePane="bottomLeft" state="frozen"/>
      <selection pane="bottomLeft" sqref="A1:L1"/>
    </sheetView>
  </sheetViews>
  <sheetFormatPr defaultColWidth="8.6328125" defaultRowHeight="14.5" x14ac:dyDescent="0.35"/>
  <cols>
    <col min="1" max="1" width="12" customWidth="1"/>
    <col min="2" max="2" width="18" customWidth="1"/>
    <col min="3" max="3" width="16" customWidth="1"/>
    <col min="4" max="4" width="14" customWidth="1"/>
    <col min="5" max="5" width="13" customWidth="1"/>
    <col min="6" max="6" width="15" customWidth="1"/>
    <col min="7" max="7" width="14" customWidth="1"/>
    <col min="8" max="8" width="10" customWidth="1"/>
    <col min="9" max="9" width="13" customWidth="1"/>
    <col min="10" max="11" width="12" customWidth="1"/>
    <col min="12" max="12" width="26" customWidth="1"/>
  </cols>
  <sheetData>
    <row r="1" spans="1:12" ht="30" customHeight="1" x14ac:dyDescent="0.35">
      <c r="A1" s="21" t="s">
        <v>71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8" customHeight="1" x14ac:dyDescent="0.35">
      <c r="A2" s="22" t="s">
        <v>72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31.5" customHeight="1" x14ac:dyDescent="0.35">
      <c r="A3" s="14" t="s">
        <v>73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  <c r="I3" s="14" t="s">
        <v>81</v>
      </c>
      <c r="J3" s="14" t="s">
        <v>82</v>
      </c>
      <c r="K3" s="14" t="s">
        <v>41</v>
      </c>
      <c r="L3" s="14" t="s">
        <v>83</v>
      </c>
    </row>
    <row r="4" spans="1:12" ht="15" customHeight="1" x14ac:dyDescent="0.35">
      <c r="A4" s="15" t="s">
        <v>84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5" customHeight="1" x14ac:dyDescent="0.35">
      <c r="A5" s="17" t="s">
        <v>85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ht="15" customHeight="1" x14ac:dyDescent="0.35">
      <c r="A6" s="15" t="s">
        <v>86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15" customHeight="1" x14ac:dyDescent="0.35">
      <c r="A7" s="17" t="s">
        <v>87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5" customHeight="1" x14ac:dyDescent="0.35">
      <c r="A8" s="15" t="s">
        <v>88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5" customHeight="1" x14ac:dyDescent="0.35">
      <c r="A9" s="17" t="s">
        <v>89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ht="15" customHeight="1" x14ac:dyDescent="0.35">
      <c r="A10" s="15" t="s">
        <v>90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5" customHeight="1" x14ac:dyDescent="0.35">
      <c r="A11" s="17" t="s">
        <v>91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</sheetData>
  <autoFilter ref="A3:L11" xr:uid="{00000000-0009-0000-0000-000004000000}"/>
  <mergeCells count="2">
    <mergeCell ref="A1:L1"/>
    <mergeCell ref="A2:L2"/>
  </mergeCells>
  <dataValidations count="2">
    <dataValidation type="list" allowBlank="1" sqref="J4:J11" xr:uid="{00000000-0002-0000-0400-000000000000}">
      <formula1>"TR,IT,TR+IT"</formula1>
      <formula2>0</formula2>
    </dataValidation>
    <dataValidation type="list" allowBlank="1" sqref="H4:H11" xr:uid="{00000000-0002-0000-0400-000001000000}">
      <formula1>"EUR,TRY"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3"/>
  <sheetViews>
    <sheetView showGridLines="0" zoomScaleNormal="100" workbookViewId="0">
      <pane xSplit="3" ySplit="3" topLeftCell="Q6" activePane="bottomRight" state="frozen"/>
      <selection pane="topRight" activeCell="D1" sqref="D1"/>
      <selection pane="bottomLeft" activeCell="A4" sqref="A4"/>
      <selection pane="bottomRight" activeCell="T4" sqref="T4"/>
    </sheetView>
  </sheetViews>
  <sheetFormatPr defaultColWidth="8.6328125" defaultRowHeight="14.5" x14ac:dyDescent="0.35"/>
  <cols>
    <col min="1" max="1" width="8" customWidth="1"/>
    <col min="2" max="2" width="20" customWidth="1"/>
    <col min="3" max="3" width="26" customWidth="1"/>
    <col min="4" max="4" width="15" customWidth="1"/>
    <col min="5" max="5" width="12" customWidth="1"/>
    <col min="6" max="6" width="15" customWidth="1"/>
    <col min="7" max="8" width="12" customWidth="1"/>
    <col min="9" max="9" width="10" customWidth="1"/>
    <col min="10" max="10" width="16" customWidth="1"/>
    <col min="11" max="11" width="15" customWidth="1"/>
    <col min="12" max="12" width="14" customWidth="1"/>
    <col min="13" max="13" width="12" customWidth="1"/>
    <col min="14" max="14" width="10" customWidth="1"/>
    <col min="15" max="15" width="12" customWidth="1"/>
    <col min="16" max="16" width="15" customWidth="1"/>
    <col min="17" max="17" width="13" customWidth="1"/>
    <col min="18" max="18" width="24" customWidth="1"/>
    <col min="19" max="20" width="14" customWidth="1"/>
    <col min="21" max="23" width="13" customWidth="1"/>
    <col min="24" max="24" width="22" customWidth="1"/>
    <col min="25" max="26" width="14" customWidth="1"/>
  </cols>
  <sheetData>
    <row r="1" spans="1:26" ht="30" customHeight="1" x14ac:dyDescent="0.35">
      <c r="A1" s="21" t="s">
        <v>92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8" customHeight="1" x14ac:dyDescent="0.35">
      <c r="A2" s="22" t="s">
        <v>93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42" customHeight="1" x14ac:dyDescent="0.35">
      <c r="A3" s="14" t="s">
        <v>94</v>
      </c>
      <c r="B3" s="14" t="s">
        <v>95</v>
      </c>
      <c r="C3" s="14" t="s">
        <v>96</v>
      </c>
      <c r="D3" s="14" t="s">
        <v>97</v>
      </c>
      <c r="E3" s="14" t="s">
        <v>98</v>
      </c>
      <c r="F3" s="14" t="s">
        <v>99</v>
      </c>
      <c r="G3" s="14" t="s">
        <v>100</v>
      </c>
      <c r="H3" s="14" t="s">
        <v>101</v>
      </c>
      <c r="I3" s="14" t="s">
        <v>102</v>
      </c>
      <c r="J3" s="14" t="s">
        <v>74</v>
      </c>
      <c r="K3" s="14" t="s">
        <v>75</v>
      </c>
      <c r="L3" s="14" t="s">
        <v>76</v>
      </c>
      <c r="M3" s="14" t="s">
        <v>77</v>
      </c>
      <c r="N3" s="14" t="s">
        <v>80</v>
      </c>
      <c r="O3" s="14" t="s">
        <v>81</v>
      </c>
      <c r="P3" s="14" t="s">
        <v>78</v>
      </c>
      <c r="Q3" s="14" t="s">
        <v>79</v>
      </c>
      <c r="R3" s="14" t="s">
        <v>103</v>
      </c>
      <c r="S3" s="14" t="s">
        <v>104</v>
      </c>
      <c r="T3" s="14" t="s">
        <v>105</v>
      </c>
      <c r="U3" s="14" t="s">
        <v>106</v>
      </c>
      <c r="V3" s="14" t="s">
        <v>107</v>
      </c>
      <c r="W3" s="14" t="s">
        <v>108</v>
      </c>
      <c r="X3" s="14" t="s">
        <v>109</v>
      </c>
      <c r="Y3" s="14" t="s">
        <v>110</v>
      </c>
      <c r="Z3" s="14" t="s">
        <v>111</v>
      </c>
    </row>
    <row r="4" spans="1:26" ht="23.25" customHeight="1" x14ac:dyDescent="0.35">
      <c r="A4" s="15" t="s">
        <v>112</v>
      </c>
      <c r="B4" s="16" t="s">
        <v>113</v>
      </c>
      <c r="C4" s="16" t="s">
        <v>114</v>
      </c>
      <c r="D4" s="15" t="s">
        <v>115</v>
      </c>
      <c r="E4" s="15" t="s">
        <v>116</v>
      </c>
      <c r="F4" s="15" t="s">
        <v>117</v>
      </c>
      <c r="G4" s="15" t="s">
        <v>116</v>
      </c>
      <c r="H4" s="15" t="s">
        <v>118</v>
      </c>
      <c r="I4" s="15" t="s">
        <v>119</v>
      </c>
      <c r="J4" s="15"/>
      <c r="K4" s="15"/>
      <c r="L4" s="15"/>
      <c r="M4" s="15"/>
      <c r="N4" s="15"/>
      <c r="O4" s="15"/>
      <c r="P4" s="15"/>
      <c r="Q4" s="15"/>
      <c r="R4" s="16" t="s">
        <v>120</v>
      </c>
      <c r="S4" s="15" t="s">
        <v>121</v>
      </c>
      <c r="T4" s="15" t="s">
        <v>24</v>
      </c>
      <c r="U4" s="19"/>
      <c r="V4" s="19"/>
      <c r="W4" s="15"/>
      <c r="X4" s="16"/>
      <c r="Y4" s="15"/>
      <c r="Z4" s="15"/>
    </row>
    <row r="5" spans="1:26" ht="15" customHeight="1" x14ac:dyDescent="0.35">
      <c r="A5" s="17" t="s">
        <v>122</v>
      </c>
      <c r="B5" s="18" t="s">
        <v>123</v>
      </c>
      <c r="C5" s="18" t="s">
        <v>124</v>
      </c>
      <c r="D5" s="17" t="s">
        <v>117</v>
      </c>
      <c r="E5" s="17" t="s">
        <v>116</v>
      </c>
      <c r="F5" s="17" t="s">
        <v>125</v>
      </c>
      <c r="G5" s="17" t="s">
        <v>116</v>
      </c>
      <c r="H5" s="17" t="s">
        <v>118</v>
      </c>
      <c r="I5" s="17" t="s">
        <v>119</v>
      </c>
      <c r="J5" s="17"/>
      <c r="K5" s="17"/>
      <c r="L5" s="17"/>
      <c r="M5" s="17"/>
      <c r="N5" s="17"/>
      <c r="O5" s="17"/>
      <c r="P5" s="17"/>
      <c r="Q5" s="17"/>
      <c r="R5" s="18" t="s">
        <v>126</v>
      </c>
      <c r="S5" s="17" t="s">
        <v>127</v>
      </c>
      <c r="T5" s="17" t="s">
        <v>24</v>
      </c>
      <c r="U5" s="20"/>
      <c r="V5" s="20"/>
      <c r="W5" s="17"/>
      <c r="X5" s="18"/>
      <c r="Y5" s="17"/>
      <c r="Z5" s="17"/>
    </row>
    <row r="6" spans="1:26" ht="15" customHeight="1" x14ac:dyDescent="0.35">
      <c r="A6" s="15" t="s">
        <v>128</v>
      </c>
      <c r="B6" s="16" t="s">
        <v>129</v>
      </c>
      <c r="C6" s="16" t="s">
        <v>130</v>
      </c>
      <c r="D6" s="15" t="s">
        <v>125</v>
      </c>
      <c r="E6" s="15" t="s">
        <v>131</v>
      </c>
      <c r="F6" s="15" t="s">
        <v>125</v>
      </c>
      <c r="G6" s="15" t="s">
        <v>131</v>
      </c>
      <c r="H6" s="15" t="s">
        <v>132</v>
      </c>
      <c r="I6" s="15" t="s">
        <v>119</v>
      </c>
      <c r="J6" s="15"/>
      <c r="K6" s="15"/>
      <c r="L6" s="15"/>
      <c r="M6" s="15"/>
      <c r="N6" s="15"/>
      <c r="O6" s="15"/>
      <c r="P6" s="15"/>
      <c r="Q6" s="15"/>
      <c r="R6" s="16" t="s">
        <v>133</v>
      </c>
      <c r="S6" s="15" t="s">
        <v>121</v>
      </c>
      <c r="T6" s="15" t="s">
        <v>24</v>
      </c>
      <c r="U6" s="19"/>
      <c r="V6" s="19"/>
      <c r="W6" s="15"/>
      <c r="X6" s="16"/>
      <c r="Y6" s="15"/>
      <c r="Z6" s="15"/>
    </row>
    <row r="7" spans="1:26" ht="15" customHeight="1" x14ac:dyDescent="0.35">
      <c r="A7" s="17" t="s">
        <v>134</v>
      </c>
      <c r="B7" s="18" t="s">
        <v>135</v>
      </c>
      <c r="C7" s="18" t="s">
        <v>136</v>
      </c>
      <c r="D7" s="17" t="s">
        <v>125</v>
      </c>
      <c r="E7" s="17" t="s">
        <v>131</v>
      </c>
      <c r="F7" s="17" t="s">
        <v>125</v>
      </c>
      <c r="G7" s="17" t="s">
        <v>116</v>
      </c>
      <c r="H7" s="17" t="s">
        <v>132</v>
      </c>
      <c r="I7" s="17" t="s">
        <v>137</v>
      </c>
      <c r="J7" s="17"/>
      <c r="K7" s="17"/>
      <c r="L7" s="17"/>
      <c r="M7" s="17"/>
      <c r="N7" s="17"/>
      <c r="O7" s="17"/>
      <c r="P7" s="17"/>
      <c r="Q7" s="17"/>
      <c r="R7" s="18" t="s">
        <v>138</v>
      </c>
      <c r="S7" s="17" t="s">
        <v>121</v>
      </c>
      <c r="T7" s="17" t="s">
        <v>24</v>
      </c>
      <c r="U7" s="20"/>
      <c r="V7" s="20"/>
      <c r="W7" s="17"/>
      <c r="X7" s="18"/>
      <c r="Y7" s="17"/>
      <c r="Z7" s="17"/>
    </row>
    <row r="8" spans="1:26" ht="15" customHeight="1" x14ac:dyDescent="0.35">
      <c r="A8" s="15" t="s">
        <v>139</v>
      </c>
      <c r="B8" s="16" t="s">
        <v>140</v>
      </c>
      <c r="C8" s="16" t="s">
        <v>141</v>
      </c>
      <c r="D8" s="15" t="s">
        <v>125</v>
      </c>
      <c r="E8" s="15" t="s">
        <v>116</v>
      </c>
      <c r="F8" s="15" t="s">
        <v>125</v>
      </c>
      <c r="G8" s="15" t="s">
        <v>131</v>
      </c>
      <c r="H8" s="15" t="s">
        <v>118</v>
      </c>
      <c r="I8" s="15" t="s">
        <v>137</v>
      </c>
      <c r="J8" s="15"/>
      <c r="K8" s="15"/>
      <c r="L8" s="15"/>
      <c r="M8" s="15"/>
      <c r="N8" s="15"/>
      <c r="O8" s="15"/>
      <c r="P8" s="15"/>
      <c r="Q8" s="15"/>
      <c r="R8" s="16" t="s">
        <v>142</v>
      </c>
      <c r="S8" s="15" t="s">
        <v>121</v>
      </c>
      <c r="T8" s="15" t="s">
        <v>26</v>
      </c>
      <c r="U8" s="19"/>
      <c r="V8" s="19"/>
      <c r="W8" s="15"/>
      <c r="X8" s="16"/>
      <c r="Y8" s="15"/>
      <c r="Z8" s="15"/>
    </row>
    <row r="9" spans="1:26" ht="23.25" customHeight="1" x14ac:dyDescent="0.35">
      <c r="A9" s="17" t="s">
        <v>143</v>
      </c>
      <c r="B9" s="18" t="s">
        <v>144</v>
      </c>
      <c r="C9" s="18" t="s">
        <v>145</v>
      </c>
      <c r="D9" s="17" t="s">
        <v>125</v>
      </c>
      <c r="E9" s="17" t="s">
        <v>131</v>
      </c>
      <c r="F9" s="17" t="s">
        <v>146</v>
      </c>
      <c r="G9" s="17" t="s">
        <v>131</v>
      </c>
      <c r="H9" s="17" t="s">
        <v>132</v>
      </c>
      <c r="I9" s="17" t="s">
        <v>119</v>
      </c>
      <c r="J9" s="17"/>
      <c r="K9" s="17"/>
      <c r="L9" s="17"/>
      <c r="M9" s="17"/>
      <c r="N9" s="17"/>
      <c r="O9" s="17"/>
      <c r="P9" s="17"/>
      <c r="Q9" s="17"/>
      <c r="R9" s="18" t="s">
        <v>147</v>
      </c>
      <c r="S9" s="17" t="s">
        <v>148</v>
      </c>
      <c r="T9" s="17" t="s">
        <v>7</v>
      </c>
      <c r="U9" s="20"/>
      <c r="V9" s="20"/>
      <c r="W9" s="17"/>
      <c r="X9" s="18"/>
      <c r="Y9" s="17"/>
      <c r="Z9" s="17"/>
    </row>
    <row r="10" spans="1:26" ht="15" customHeight="1" x14ac:dyDescent="0.35">
      <c r="A10" s="15" t="s">
        <v>149</v>
      </c>
      <c r="B10" s="16" t="s">
        <v>150</v>
      </c>
      <c r="C10" s="16" t="s">
        <v>151</v>
      </c>
      <c r="D10" s="15" t="s">
        <v>125</v>
      </c>
      <c r="E10" s="15" t="s">
        <v>131</v>
      </c>
      <c r="F10" s="15" t="s">
        <v>146</v>
      </c>
      <c r="G10" s="15" t="s">
        <v>131</v>
      </c>
      <c r="H10" s="15" t="s">
        <v>132</v>
      </c>
      <c r="I10" s="15" t="s">
        <v>137</v>
      </c>
      <c r="J10" s="15"/>
      <c r="K10" s="15"/>
      <c r="L10" s="15"/>
      <c r="M10" s="15"/>
      <c r="N10" s="15"/>
      <c r="O10" s="15"/>
      <c r="P10" s="15"/>
      <c r="Q10" s="15"/>
      <c r="R10" s="16" t="s">
        <v>152</v>
      </c>
      <c r="S10" s="15" t="s">
        <v>153</v>
      </c>
      <c r="T10" s="15" t="s">
        <v>7</v>
      </c>
      <c r="U10" s="19"/>
      <c r="V10" s="19"/>
      <c r="W10" s="15"/>
      <c r="X10" s="16"/>
      <c r="Y10" s="15"/>
      <c r="Z10" s="15"/>
    </row>
    <row r="11" spans="1:26" ht="15" customHeight="1" x14ac:dyDescent="0.35">
      <c r="A11" s="17" t="s">
        <v>154</v>
      </c>
      <c r="B11" s="18" t="s">
        <v>155</v>
      </c>
      <c r="C11" s="18" t="s">
        <v>156</v>
      </c>
      <c r="D11" s="17" t="s">
        <v>146</v>
      </c>
      <c r="E11" s="17" t="s">
        <v>131</v>
      </c>
      <c r="F11" s="17" t="s">
        <v>146</v>
      </c>
      <c r="G11" s="17" t="s">
        <v>116</v>
      </c>
      <c r="H11" s="17" t="s">
        <v>132</v>
      </c>
      <c r="I11" s="17" t="s">
        <v>119</v>
      </c>
      <c r="J11" s="17"/>
      <c r="K11" s="17"/>
      <c r="L11" s="17"/>
      <c r="M11" s="17"/>
      <c r="N11" s="17"/>
      <c r="O11" s="17"/>
      <c r="P11" s="17"/>
      <c r="Q11" s="17"/>
      <c r="R11" s="18" t="s">
        <v>157</v>
      </c>
      <c r="S11" s="17" t="s">
        <v>158</v>
      </c>
      <c r="T11" s="17" t="s">
        <v>7</v>
      </c>
      <c r="U11" s="20"/>
      <c r="V11" s="20"/>
      <c r="W11" s="17"/>
      <c r="X11" s="18"/>
      <c r="Y11" s="17"/>
      <c r="Z11" s="17"/>
    </row>
    <row r="12" spans="1:26" ht="15" customHeight="1" x14ac:dyDescent="0.35">
      <c r="A12" s="15" t="s">
        <v>159</v>
      </c>
      <c r="B12" s="16" t="s">
        <v>160</v>
      </c>
      <c r="C12" s="16" t="s">
        <v>161</v>
      </c>
      <c r="D12" s="15" t="s">
        <v>146</v>
      </c>
      <c r="E12" s="15" t="s">
        <v>116</v>
      </c>
      <c r="F12" s="15" t="s">
        <v>146</v>
      </c>
      <c r="G12" s="15" t="s">
        <v>131</v>
      </c>
      <c r="H12" s="15" t="s">
        <v>118</v>
      </c>
      <c r="I12" s="15" t="s">
        <v>119</v>
      </c>
      <c r="J12" s="15"/>
      <c r="K12" s="15"/>
      <c r="L12" s="15"/>
      <c r="M12" s="15"/>
      <c r="N12" s="15"/>
      <c r="O12" s="15"/>
      <c r="P12" s="15"/>
      <c r="Q12" s="15"/>
      <c r="R12" s="16" t="s">
        <v>162</v>
      </c>
      <c r="S12" s="15" t="s">
        <v>163</v>
      </c>
      <c r="T12" s="15" t="s">
        <v>7</v>
      </c>
      <c r="U12" s="19"/>
      <c r="V12" s="19"/>
      <c r="W12" s="15"/>
      <c r="X12" s="16"/>
      <c r="Y12" s="15"/>
      <c r="Z12" s="15"/>
    </row>
    <row r="13" spans="1:26" ht="15" customHeight="1" x14ac:dyDescent="0.35">
      <c r="A13" s="17" t="s">
        <v>164</v>
      </c>
      <c r="B13" s="18" t="s">
        <v>165</v>
      </c>
      <c r="C13" s="18" t="s">
        <v>166</v>
      </c>
      <c r="D13" s="17" t="s">
        <v>125</v>
      </c>
      <c r="E13" s="17" t="s">
        <v>116</v>
      </c>
      <c r="F13" s="17" t="s">
        <v>167</v>
      </c>
      <c r="G13" s="17" t="s">
        <v>116</v>
      </c>
      <c r="H13" s="17" t="s">
        <v>118</v>
      </c>
      <c r="I13" s="17" t="s">
        <v>137</v>
      </c>
      <c r="J13" s="17"/>
      <c r="K13" s="17"/>
      <c r="L13" s="17"/>
      <c r="M13" s="17"/>
      <c r="N13" s="17"/>
      <c r="O13" s="17"/>
      <c r="P13" s="17"/>
      <c r="Q13" s="17"/>
      <c r="R13" s="18" t="s">
        <v>168</v>
      </c>
      <c r="S13" s="17" t="s">
        <v>121</v>
      </c>
      <c r="T13" s="17" t="s">
        <v>7</v>
      </c>
      <c r="U13" s="20"/>
      <c r="V13" s="20"/>
      <c r="W13" s="17"/>
      <c r="X13" s="18"/>
      <c r="Y13" s="17"/>
      <c r="Z13" s="17"/>
    </row>
  </sheetData>
  <autoFilter ref="A3:Z13" xr:uid="{00000000-0009-0000-0000-000005000000}"/>
  <mergeCells count="2">
    <mergeCell ref="A1:Z1"/>
    <mergeCell ref="A2:Z2"/>
  </mergeCells>
  <conditionalFormatting sqref="T4:T13">
    <cfRule type="cellIs" dxfId="15" priority="2" operator="equal">
      <formula>"Passed"</formula>
    </cfRule>
    <cfRule type="cellIs" dxfId="14" priority="3" operator="equal">
      <formula>"Closed"</formula>
    </cfRule>
    <cfRule type="cellIs" dxfId="13" priority="4" operator="equal">
      <formula>"Done"</formula>
    </cfRule>
    <cfRule type="cellIs" dxfId="12" priority="5" operator="equal">
      <formula>"Failed"</formula>
    </cfRule>
    <cfRule type="cellIs" dxfId="11" priority="6" operator="equal">
      <formula>"Open"</formula>
    </cfRule>
    <cfRule type="cellIs" dxfId="10" priority="7" operator="equal">
      <formula>"Blocked"</formula>
    </cfRule>
    <cfRule type="cellIs" dxfId="9" priority="8" operator="equal">
      <formula>"In Progress"</formula>
    </cfRule>
    <cfRule type="cellIs" dxfId="8" priority="9" operator="equal">
      <formula>"Not Started"</formula>
    </cfRule>
  </conditionalFormatting>
  <dataValidations count="3">
    <dataValidation type="list" allowBlank="1" sqref="I4:I13" xr:uid="{00000000-0002-0000-0500-000000000000}">
      <formula1>"High,Medium,Low"</formula1>
      <formula2>0</formula2>
    </dataValidation>
    <dataValidation type="list" allowBlank="1" sqref="T4:T13" xr:uid="{00000000-0002-0000-0500-000001000000}">
      <formula1>"Not Started,In Progress,Passed,Failed,Blocked"</formula1>
      <formula2>0</formula2>
    </dataValidation>
    <dataValidation type="list" allowBlank="1" sqref="N4:N13" xr:uid="{00000000-0002-0000-0500-000002000000}">
      <formula1>"EUR,TRY"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showGridLines="0" tabSelected="1" zoomScaleNormal="100" workbookViewId="0">
      <pane ySplit="3" topLeftCell="A4" activePane="bottomLeft" state="frozen"/>
      <selection pane="bottomLeft" activeCell="I4" sqref="I4"/>
    </sheetView>
  </sheetViews>
  <sheetFormatPr defaultColWidth="8.6328125" defaultRowHeight="14.5" x14ac:dyDescent="0.35"/>
  <cols>
    <col min="1" max="1" width="8" customWidth="1"/>
    <col min="2" max="2" width="16" customWidth="1"/>
    <col min="3" max="3" width="32" customWidth="1"/>
    <col min="4" max="5" width="11" customWidth="1"/>
    <col min="6" max="6" width="12" customWidth="1"/>
    <col min="7" max="8" width="14" customWidth="1"/>
    <col min="9" max="9" width="12" customWidth="1"/>
    <col min="10" max="10" width="14" customWidth="1"/>
    <col min="11" max="11" width="24" customWidth="1"/>
  </cols>
  <sheetData>
    <row r="1" spans="1:11" ht="30" customHeight="1" x14ac:dyDescent="0.35">
      <c r="A1" s="21" t="s">
        <v>169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8" customHeight="1" x14ac:dyDescent="0.35">
      <c r="A2" s="22" t="s">
        <v>170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31.5" customHeight="1" x14ac:dyDescent="0.35">
      <c r="A3" s="14" t="s">
        <v>94</v>
      </c>
      <c r="B3" s="14" t="s">
        <v>110</v>
      </c>
      <c r="C3" s="14" t="s">
        <v>171</v>
      </c>
      <c r="D3" s="14" t="s">
        <v>28</v>
      </c>
      <c r="E3" s="14" t="s">
        <v>102</v>
      </c>
      <c r="F3" s="14" t="s">
        <v>82</v>
      </c>
      <c r="G3" s="14" t="s">
        <v>172</v>
      </c>
      <c r="H3" s="14" t="s">
        <v>173</v>
      </c>
      <c r="I3" s="14" t="s">
        <v>42</v>
      </c>
      <c r="J3" s="14" t="s">
        <v>111</v>
      </c>
      <c r="K3" s="14" t="s">
        <v>174</v>
      </c>
    </row>
    <row r="4" spans="1:11" ht="15" customHeight="1" x14ac:dyDescent="0.35">
      <c r="A4" s="15">
        <v>1</v>
      </c>
      <c r="B4" s="15">
        <v>121</v>
      </c>
      <c r="C4" s="16" t="s">
        <v>177</v>
      </c>
      <c r="D4" s="15" t="s">
        <v>31</v>
      </c>
      <c r="E4" s="15" t="s">
        <v>119</v>
      </c>
      <c r="F4" s="15"/>
      <c r="G4" s="19"/>
      <c r="H4" s="19"/>
      <c r="I4" s="15" t="s">
        <v>178</v>
      </c>
      <c r="J4" s="15"/>
      <c r="K4" s="16"/>
    </row>
    <row r="5" spans="1:11" ht="15" customHeight="1" x14ac:dyDescent="0.35">
      <c r="A5" s="17"/>
      <c r="B5" s="17"/>
      <c r="C5" s="18"/>
      <c r="D5" s="17"/>
      <c r="E5" s="17"/>
      <c r="F5" s="17"/>
      <c r="G5" s="20"/>
      <c r="H5" s="20"/>
      <c r="I5" s="17"/>
      <c r="J5" s="17"/>
      <c r="K5" s="18"/>
    </row>
    <row r="6" spans="1:11" ht="15" customHeight="1" x14ac:dyDescent="0.35">
      <c r="A6" s="15"/>
      <c r="B6" s="15"/>
      <c r="C6" s="16"/>
      <c r="D6" s="15"/>
      <c r="E6" s="15"/>
      <c r="F6" s="15"/>
      <c r="G6" s="19"/>
      <c r="H6" s="19"/>
      <c r="I6" s="15"/>
      <c r="J6" s="15"/>
      <c r="K6" s="16"/>
    </row>
    <row r="7" spans="1:11" ht="15" customHeight="1" x14ac:dyDescent="0.35">
      <c r="A7" s="17"/>
      <c r="B7" s="17"/>
      <c r="C7" s="18"/>
      <c r="D7" s="17"/>
      <c r="E7" s="17"/>
      <c r="F7" s="17"/>
      <c r="G7" s="20"/>
      <c r="H7" s="20"/>
      <c r="I7" s="17"/>
      <c r="J7" s="17"/>
      <c r="K7" s="18"/>
    </row>
    <row r="8" spans="1:11" ht="15" customHeight="1" x14ac:dyDescent="0.35">
      <c r="A8" s="15"/>
      <c r="B8" s="15"/>
      <c r="C8" s="16"/>
      <c r="D8" s="15"/>
      <c r="E8" s="15"/>
      <c r="F8" s="15"/>
      <c r="G8" s="19"/>
      <c r="H8" s="19"/>
      <c r="I8" s="15"/>
      <c r="J8" s="15"/>
      <c r="K8" s="16"/>
    </row>
    <row r="9" spans="1:11" ht="15" customHeight="1" x14ac:dyDescent="0.35">
      <c r="A9" s="17"/>
      <c r="B9" s="17"/>
      <c r="C9" s="18"/>
      <c r="D9" s="17"/>
      <c r="E9" s="17"/>
      <c r="F9" s="17"/>
      <c r="G9" s="20"/>
      <c r="H9" s="20"/>
      <c r="I9" s="17"/>
      <c r="J9" s="17"/>
      <c r="K9" s="18"/>
    </row>
    <row r="10" spans="1:11" ht="15" customHeight="1" x14ac:dyDescent="0.35">
      <c r="A10" s="15"/>
      <c r="B10" s="15"/>
      <c r="C10" s="16"/>
      <c r="D10" s="15"/>
      <c r="E10" s="15"/>
      <c r="F10" s="15"/>
      <c r="G10" s="19"/>
      <c r="H10" s="19"/>
      <c r="I10" s="15"/>
      <c r="J10" s="15"/>
      <c r="K10" s="16"/>
    </row>
    <row r="11" spans="1:11" ht="15" customHeight="1" x14ac:dyDescent="0.35">
      <c r="A11" s="17"/>
      <c r="B11" s="17"/>
      <c r="C11" s="18"/>
      <c r="D11" s="17"/>
      <c r="E11" s="17"/>
      <c r="F11" s="17"/>
      <c r="G11" s="20"/>
      <c r="H11" s="20"/>
      <c r="I11" s="17"/>
      <c r="J11" s="17"/>
      <c r="K11" s="18"/>
    </row>
  </sheetData>
  <autoFilter ref="A3:K11" xr:uid="{00000000-0009-0000-0000-000006000000}"/>
  <mergeCells count="2">
    <mergeCell ref="A1:K1"/>
    <mergeCell ref="A2:K2"/>
  </mergeCells>
  <conditionalFormatting sqref="I4:I11">
    <cfRule type="cellIs" dxfId="7" priority="2" operator="equal">
      <formula>"Passed"</formula>
    </cfRule>
    <cfRule type="cellIs" dxfId="6" priority="3" operator="equal">
      <formula>"Closed"</formula>
    </cfRule>
    <cfRule type="cellIs" dxfId="5" priority="4" operator="equal">
      <formula>"Done"</formula>
    </cfRule>
    <cfRule type="cellIs" dxfId="4" priority="5" operator="equal">
      <formula>"Failed"</formula>
    </cfRule>
    <cfRule type="cellIs" dxfId="3" priority="6" operator="equal">
      <formula>"Open"</formula>
    </cfRule>
    <cfRule type="cellIs" dxfId="2" priority="7" operator="equal">
      <formula>"Blocked"</formula>
    </cfRule>
    <cfRule type="cellIs" dxfId="1" priority="8" operator="equal">
      <formula>"In Progress"</formula>
    </cfRule>
    <cfRule type="cellIs" dxfId="0" priority="9" operator="equal">
      <formula>"Not Started"</formula>
    </cfRule>
  </conditionalFormatting>
  <dataValidations count="4">
    <dataValidation type="list" allowBlank="1" sqref="D4:D11" xr:uid="{00000000-0002-0000-0600-000000000000}">
      <formula1>"Critical,Major,Minor"</formula1>
      <formula2>0</formula2>
    </dataValidation>
    <dataValidation type="list" allowBlank="1" sqref="E4:E11" xr:uid="{00000000-0002-0000-0600-000001000000}">
      <formula1>"High,Medium,Low"</formula1>
      <formula2>0</formula2>
    </dataValidation>
    <dataValidation type="list" allowBlank="1" sqref="F4:F11" xr:uid="{00000000-0002-0000-0600-000002000000}">
      <formula1>"TR,IT,TR+IT"</formula1>
      <formula2>0</formula2>
    </dataValidation>
    <dataValidation type="list" allowBlank="1" sqref="I4:I11" xr:uid="{00000000-0002-0000-0600-000003000000}">
      <formula1>"Open,In Progress,Closed"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 &amp; Notes</vt:lpstr>
      <vt:lpstr>Summary</vt:lpstr>
      <vt:lpstr>Entry Criteria</vt:lpstr>
      <vt:lpstr>Exit Criteria</vt:lpstr>
      <vt:lpstr>Test Data</vt:lpstr>
      <vt:lpstr>E2E Test Execution</vt:lpstr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Meghana Sharma</cp:lastModifiedBy>
  <cp:revision>3</cp:revision>
  <dcterms:created xsi:type="dcterms:W3CDTF">2026-07-08T11:26:52Z</dcterms:created>
  <dcterms:modified xsi:type="dcterms:W3CDTF">2026-07-08T15:43:58Z</dcterms:modified>
  <dc:language>en-US</dc:language>
</cp:coreProperties>
</file>